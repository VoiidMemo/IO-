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study\提高\"/>
    </mc:Choice>
  </mc:AlternateContent>
  <xr:revisionPtr revIDLastSave="0" documentId="13_ncr:1_{B55CA53E-F5D2-492D-B686-8595023CD4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</calcChain>
</file>

<file path=xl/sharedStrings.xml><?xml version="1.0" encoding="utf-8"?>
<sst xmlns="http://schemas.openxmlformats.org/spreadsheetml/2006/main" count="63" uniqueCount="35">
  <si>
    <t>I点</t>
    <phoneticPr fontId="1" type="noConversion"/>
  </si>
  <si>
    <t>I/O点</t>
    <phoneticPr fontId="1" type="noConversion"/>
  </si>
  <si>
    <t>映射后内容</t>
    <phoneticPr fontId="1" type="noConversion"/>
  </si>
  <si>
    <t>名称</t>
    <phoneticPr fontId="1" type="noConversion"/>
  </si>
  <si>
    <t>左顶升上限</t>
  </si>
  <si>
    <t>左顶升下限</t>
  </si>
  <si>
    <t>右顶升上限</t>
  </si>
  <si>
    <t>右顶升下限</t>
  </si>
  <si>
    <t>左料盒有料</t>
  </si>
  <si>
    <t>左料盒前位</t>
  </si>
  <si>
    <t>左料盒后位</t>
  </si>
  <si>
    <t>左外有真空</t>
  </si>
  <si>
    <t>左外无真空</t>
  </si>
  <si>
    <t>左内有真空</t>
  </si>
  <si>
    <t>左内无真空</t>
  </si>
  <si>
    <t>左整理有料</t>
  </si>
  <si>
    <t>左外吸盘上</t>
  </si>
  <si>
    <t>左外吸盘下</t>
  </si>
  <si>
    <t>左压板升</t>
  </si>
  <si>
    <t>左压板降</t>
  </si>
  <si>
    <t>左压板进出</t>
  </si>
  <si>
    <t>右压板升</t>
  </si>
  <si>
    <t>右压板降</t>
  </si>
  <si>
    <t>右压板进出</t>
  </si>
  <si>
    <t>补槽缸</t>
  </si>
  <si>
    <t>压台缸</t>
  </si>
  <si>
    <t>蜂鸣器</t>
  </si>
  <si>
    <t>暂停指示灯</t>
  </si>
  <si>
    <t>左外吸盘上下缸</t>
  </si>
  <si>
    <t>左抖片缸</t>
  </si>
  <si>
    <t>左内吸盘上下缸</t>
  </si>
  <si>
    <t>隔膜切断上下缸</t>
  </si>
  <si>
    <t>隔膜切断</t>
  </si>
  <si>
    <t>右内抽真空</t>
  </si>
  <si>
    <t>Q点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</si>
</sst>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5" tint="0.3999755851924192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2" fillId="3" borderId="1" xfId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1" xfId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</cellXfs>
  <cellStyles count="2">
    <cellStyle name="常规" xfId="0" builtinId="0"/>
    <cellStyle name="常规 2" xfId="1" xr:uid="{849F58FE-7220-49FD-B03E-BC68686B070C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B9C2B79-BB73-4288-AFA0-C1FC8F0CF8A4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542F0C55-9169-4B35-A0EC-3605A33CAE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26" sqref="E26"/>
    </sheetView>
  </sheetViews>
  <sheetFormatPr defaultRowHeight="13.8" x14ac:dyDescent="0.25"/>
  <cols>
    <col min="1" max="1" width="13.33203125" customWidth="1"/>
    <col min="2" max="2" width="18.21875" customWidth="1"/>
    <col min="3" max="3" width="45.88671875" customWidth="1"/>
  </cols>
  <sheetData>
    <row r="1" spans="1:3" x14ac:dyDescent="0.25">
      <c r="A1" s="2" t="s">
        <v>3</v>
      </c>
      <c r="B1" s="2" t="s">
        <v>1</v>
      </c>
      <c r="C1" s="2" t="s">
        <v>2</v>
      </c>
    </row>
    <row r="2" spans="1:3" x14ac:dyDescent="0.25">
      <c r="A2" s="1" t="s">
        <v>0</v>
      </c>
      <c r="B2" s="3" t="s">
        <v>4</v>
      </c>
      <c r="C2" t="str">
        <f>IF(B2="","",IF(A2="I点","""全局""."&amp;B2&amp;" := """&amp;B2&amp;""";",IF(A2="Q点",""""&amp;B2&amp;""" := ""全局""."&amp;B2&amp;""";","")))</f>
        <v>"全局".左顶升上限 := "左顶升上限";</v>
      </c>
    </row>
    <row r="3" spans="1:3" x14ac:dyDescent="0.25">
      <c r="A3" s="3" t="s">
        <v>0</v>
      </c>
      <c r="B3" s="3" t="s">
        <v>5</v>
      </c>
      <c r="C3" t="str">
        <f t="shared" ref="C3:C31" si="0">IF(B3="","",IF(A3="I点","""全局""."&amp;B3&amp;" := """&amp;B3&amp;""";",IF(A3="Q点",""""&amp;B3&amp;""" := ""全局""."&amp;B3&amp;""";","")))</f>
        <v>"全局".左顶升下限 := "左顶升下限";</v>
      </c>
    </row>
    <row r="4" spans="1:3" x14ac:dyDescent="0.25">
      <c r="A4" s="3" t="s">
        <v>0</v>
      </c>
      <c r="B4" s="3" t="s">
        <v>6</v>
      </c>
      <c r="C4" t="str">
        <f t="shared" si="0"/>
        <v>"全局".右顶升上限 := "右顶升上限";</v>
      </c>
    </row>
    <row r="5" spans="1:3" x14ac:dyDescent="0.25">
      <c r="A5" s="3" t="s">
        <v>0</v>
      </c>
      <c r="B5" s="3" t="s">
        <v>7</v>
      </c>
      <c r="C5" t="str">
        <f t="shared" si="0"/>
        <v>"全局".右顶升下限 := "右顶升下限";</v>
      </c>
    </row>
    <row r="6" spans="1:3" x14ac:dyDescent="0.25">
      <c r="A6" s="3" t="s">
        <v>0</v>
      </c>
      <c r="B6" s="3" t="s">
        <v>8</v>
      </c>
      <c r="C6" t="str">
        <f t="shared" si="0"/>
        <v>"全局".左料盒有料 := "左料盒有料";</v>
      </c>
    </row>
    <row r="7" spans="1:3" x14ac:dyDescent="0.25">
      <c r="A7" s="3" t="s">
        <v>0</v>
      </c>
      <c r="B7" s="3" t="s">
        <v>9</v>
      </c>
      <c r="C7" t="str">
        <f t="shared" si="0"/>
        <v>"全局".左料盒前位 := "左料盒前位";</v>
      </c>
    </row>
    <row r="8" spans="1:3" x14ac:dyDescent="0.25">
      <c r="A8" s="3" t="s">
        <v>0</v>
      </c>
      <c r="B8" s="3" t="s">
        <v>10</v>
      </c>
      <c r="C8" t="str">
        <f t="shared" si="0"/>
        <v>"全局".左料盒后位 := "左料盒后位";</v>
      </c>
    </row>
    <row r="9" spans="1:3" x14ac:dyDescent="0.25">
      <c r="A9" s="3" t="s">
        <v>0</v>
      </c>
      <c r="B9" s="3" t="s">
        <v>11</v>
      </c>
      <c r="C9" t="str">
        <f t="shared" si="0"/>
        <v>"全局".左外有真空 := "左外有真空";</v>
      </c>
    </row>
    <row r="10" spans="1:3" x14ac:dyDescent="0.25">
      <c r="A10" s="3" t="s">
        <v>0</v>
      </c>
      <c r="B10" s="3" t="s">
        <v>12</v>
      </c>
      <c r="C10" t="str">
        <f t="shared" si="0"/>
        <v>"全局".左外无真空 := "左外无真空";</v>
      </c>
    </row>
    <row r="11" spans="1:3" x14ac:dyDescent="0.25">
      <c r="A11" s="3" t="s">
        <v>0</v>
      </c>
      <c r="B11" s="3" t="s">
        <v>13</v>
      </c>
      <c r="C11" t="str">
        <f t="shared" si="0"/>
        <v>"全局".左内有真空 := "左内有真空";</v>
      </c>
    </row>
    <row r="12" spans="1:3" x14ac:dyDescent="0.25">
      <c r="A12" s="3" t="s">
        <v>0</v>
      </c>
      <c r="B12" s="3" t="s">
        <v>14</v>
      </c>
      <c r="C12" t="str">
        <f t="shared" si="0"/>
        <v>"全局".左内无真空 := "左内无真空";</v>
      </c>
    </row>
    <row r="13" spans="1:3" x14ac:dyDescent="0.25">
      <c r="A13" s="3" t="s">
        <v>0</v>
      </c>
      <c r="B13" s="3" t="s">
        <v>15</v>
      </c>
      <c r="C13" t="str">
        <f t="shared" si="0"/>
        <v>"全局".左整理有料 := "左整理有料";</v>
      </c>
    </row>
    <row r="14" spans="1:3" x14ac:dyDescent="0.25">
      <c r="A14" s="3" t="s">
        <v>0</v>
      </c>
      <c r="B14" s="3" t="s">
        <v>16</v>
      </c>
      <c r="C14" t="str">
        <f t="shared" si="0"/>
        <v>"全局".左外吸盘上 := "左外吸盘上";</v>
      </c>
    </row>
    <row r="15" spans="1:3" x14ac:dyDescent="0.25">
      <c r="A15" s="3" t="s">
        <v>0</v>
      </c>
      <c r="B15" s="3" t="s">
        <v>17</v>
      </c>
      <c r="C15" t="str">
        <f t="shared" si="0"/>
        <v>"全局".左外吸盘下 := "左外吸盘下";</v>
      </c>
    </row>
    <row r="16" spans="1:3" x14ac:dyDescent="0.25">
      <c r="A16" s="4" t="s">
        <v>34</v>
      </c>
      <c r="B16" s="5" t="s">
        <v>18</v>
      </c>
      <c r="C16" t="str">
        <f t="shared" si="0"/>
        <v>"左压板升" := "全局".左压板升";</v>
      </c>
    </row>
    <row r="17" spans="1:3" x14ac:dyDescent="0.25">
      <c r="A17" s="4" t="s">
        <v>34</v>
      </c>
      <c r="B17" s="5" t="s">
        <v>19</v>
      </c>
      <c r="C17" t="str">
        <f t="shared" si="0"/>
        <v>"左压板降" := "全局".左压板降";</v>
      </c>
    </row>
    <row r="18" spans="1:3" x14ac:dyDescent="0.25">
      <c r="A18" s="4" t="s">
        <v>34</v>
      </c>
      <c r="B18" s="5" t="s">
        <v>20</v>
      </c>
      <c r="C18" t="str">
        <f t="shared" si="0"/>
        <v>"左压板进出" := "全局".左压板进出";</v>
      </c>
    </row>
    <row r="19" spans="1:3" x14ac:dyDescent="0.25">
      <c r="A19" s="4" t="s">
        <v>34</v>
      </c>
      <c r="B19" s="5" t="s">
        <v>21</v>
      </c>
      <c r="C19" t="str">
        <f t="shared" si="0"/>
        <v>"右压板升" := "全局".右压板升";</v>
      </c>
    </row>
    <row r="20" spans="1:3" x14ac:dyDescent="0.25">
      <c r="A20" s="4" t="s">
        <v>34</v>
      </c>
      <c r="B20" s="5" t="s">
        <v>22</v>
      </c>
      <c r="C20" t="str">
        <f t="shared" si="0"/>
        <v>"右压板降" := "全局".右压板降";</v>
      </c>
    </row>
    <row r="21" spans="1:3" x14ac:dyDescent="0.25">
      <c r="A21" s="4" t="s">
        <v>34</v>
      </c>
      <c r="B21" s="5" t="s">
        <v>23</v>
      </c>
      <c r="C21" t="str">
        <f t="shared" si="0"/>
        <v>"右压板进出" := "全局".右压板进出";</v>
      </c>
    </row>
    <row r="22" spans="1:3" x14ac:dyDescent="0.25">
      <c r="A22" s="4" t="s">
        <v>34</v>
      </c>
      <c r="B22" s="5" t="s">
        <v>24</v>
      </c>
      <c r="C22" t="str">
        <f t="shared" si="0"/>
        <v>"补槽缸" := "全局".补槽缸";</v>
      </c>
    </row>
    <row r="23" spans="1:3" x14ac:dyDescent="0.25">
      <c r="A23" s="4" t="s">
        <v>34</v>
      </c>
      <c r="B23" s="5" t="s">
        <v>25</v>
      </c>
      <c r="C23" t="str">
        <f t="shared" si="0"/>
        <v>"压台缸" := "全局".压台缸";</v>
      </c>
    </row>
    <row r="24" spans="1:3" x14ac:dyDescent="0.25">
      <c r="A24" s="4" t="s">
        <v>34</v>
      </c>
      <c r="B24" s="5" t="s">
        <v>26</v>
      </c>
      <c r="C24" t="str">
        <f t="shared" si="0"/>
        <v>"蜂鸣器" := "全局".蜂鸣器";</v>
      </c>
    </row>
    <row r="25" spans="1:3" x14ac:dyDescent="0.25">
      <c r="A25" s="4" t="s">
        <v>34</v>
      </c>
      <c r="B25" s="5" t="s">
        <v>27</v>
      </c>
      <c r="C25" t="str">
        <f t="shared" si="0"/>
        <v>"暂停指示灯" := "全局".暂停指示灯";</v>
      </c>
    </row>
    <row r="26" spans="1:3" x14ac:dyDescent="0.25">
      <c r="A26" s="4" t="s">
        <v>34</v>
      </c>
      <c r="B26" s="5" t="s">
        <v>28</v>
      </c>
      <c r="C26" t="str">
        <f t="shared" si="0"/>
        <v>"左外吸盘上下缸" := "全局".左外吸盘上下缸";</v>
      </c>
    </row>
    <row r="27" spans="1:3" x14ac:dyDescent="0.25">
      <c r="A27" s="4" t="s">
        <v>34</v>
      </c>
      <c r="B27" s="5" t="s">
        <v>29</v>
      </c>
      <c r="C27" t="str">
        <f t="shared" si="0"/>
        <v>"左抖片缸" := "全局".左抖片缸";</v>
      </c>
    </row>
    <row r="28" spans="1:3" x14ac:dyDescent="0.25">
      <c r="A28" s="4" t="s">
        <v>34</v>
      </c>
      <c r="B28" s="5" t="s">
        <v>30</v>
      </c>
      <c r="C28" t="str">
        <f t="shared" si="0"/>
        <v>"左内吸盘上下缸" := "全局".左内吸盘上下缸";</v>
      </c>
    </row>
    <row r="29" spans="1:3" x14ac:dyDescent="0.25">
      <c r="A29" s="4" t="s">
        <v>34</v>
      </c>
      <c r="B29" s="5" t="s">
        <v>31</v>
      </c>
      <c r="C29" t="str">
        <f t="shared" si="0"/>
        <v>"隔膜切断上下缸" := "全局".隔膜切断上下缸";</v>
      </c>
    </row>
    <row r="30" spans="1:3" x14ac:dyDescent="0.25">
      <c r="A30" s="4" t="s">
        <v>34</v>
      </c>
      <c r="B30" s="5" t="s">
        <v>32</v>
      </c>
      <c r="C30" t="str">
        <f t="shared" si="0"/>
        <v>"隔膜切断" := "全局".隔膜切断";</v>
      </c>
    </row>
    <row r="31" spans="1:3" x14ac:dyDescent="0.25">
      <c r="A31" s="4" t="s">
        <v>34</v>
      </c>
      <c r="B31" s="5" t="s">
        <v>33</v>
      </c>
      <c r="C31" t="str">
        <f t="shared" si="0"/>
        <v>"右内抽真空" := "全局".右内抽真空";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zhang</dc:creator>
  <cp:lastModifiedBy>rui zhang</cp:lastModifiedBy>
  <dcterms:created xsi:type="dcterms:W3CDTF">2015-06-05T18:19:34Z</dcterms:created>
  <dcterms:modified xsi:type="dcterms:W3CDTF">2026-09-12T01:02:22Z</dcterms:modified>
</cp:coreProperties>
</file>